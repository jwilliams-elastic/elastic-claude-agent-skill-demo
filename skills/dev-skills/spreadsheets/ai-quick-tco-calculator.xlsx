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-quick-tco-calculator" sheetId="1" r:id="rId5"/>
  </sheets>
  <definedNames/>
  <calcPr/>
</workbook>
</file>

<file path=xl/sharedStrings.xml><?xml version="1.0" encoding="utf-8"?>
<sst xmlns="http://schemas.openxmlformats.org/spreadsheetml/2006/main" count="15" uniqueCount="15">
  <si>
    <t>AI Product Quick TCO Calculator</t>
  </si>
  <si>
    <t>Inputs</t>
  </si>
  <si>
    <t>Total Users</t>
  </si>
  <si>
    <t>Cost per User / Month</t>
  </si>
  <si>
    <t>User Adoption %</t>
  </si>
  <si>
    <t>Security Rating %</t>
  </si>
  <si>
    <t>Productivity Boost %</t>
  </si>
  <si>
    <t>Total Cost / Year</t>
  </si>
  <si>
    <t>Outputs</t>
  </si>
  <si>
    <t>Productivity Value / Year</t>
  </si>
  <si>
    <t>Security Cost</t>
  </si>
  <si>
    <t>Total Benefit</t>
  </si>
  <si>
    <t>Formula Variables</t>
  </si>
  <si>
    <t>Yearly Salary - per user</t>
  </si>
  <si>
    <t>Security Risk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</si>
</sst>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5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5">
    <border/>
    <border>
      <left style="thick">
        <color rgb="FF0000FF"/>
      </left>
      <right style="thick">
        <color rgb="FF0000FF"/>
      </right>
      <top style="thick">
        <color rgb="FF0000FF"/>
      </top>
    </border>
    <border>
      <left style="thick">
        <color rgb="FF0000FF"/>
      </left>
      <right style="thick">
        <color rgb="FF0000FF"/>
      </right>
    </border>
    <border>
      <left style="thick">
        <color rgb="FF0000FF"/>
      </left>
      <right style="thick">
        <color rgb="FF0000FF"/>
      </right>
      <bottom style="thick">
        <color rgb="FF0000FF"/>
      </bottom>
    </border>
    <border>
      <left style="thick">
        <color rgb="FF34A853"/>
      </left>
      <right style="thick">
        <color rgb="FF34A853"/>
      </right>
      <top style="thick">
        <color rgb="FF34A853"/>
      </top>
      <bottom style="thick">
        <color rgb="FF34A853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1" fillId="0" fontId="3" numFmtId="3" xfId="0" applyAlignment="1" applyBorder="1" applyFont="1" applyNumberFormat="1">
      <alignment readingOrder="0"/>
    </xf>
    <xf borderId="2" fillId="0" fontId="3" numFmtId="164" xfId="0" applyAlignment="1" applyBorder="1" applyFont="1" applyNumberFormat="1">
      <alignment readingOrder="0"/>
    </xf>
    <xf borderId="2" fillId="0" fontId="3" numFmtId="9" xfId="0" applyAlignment="1" applyBorder="1" applyFont="1" applyNumberFormat="1">
      <alignment readingOrder="0"/>
    </xf>
    <xf borderId="3" fillId="0" fontId="3" numFmtId="9" xfId="0" applyAlignment="1" applyBorder="1" applyFont="1" applyNumberFormat="1">
      <alignment readingOrder="0"/>
    </xf>
    <xf borderId="0" fillId="0" fontId="3" numFmtId="165" xfId="0" applyFont="1" applyNumberFormat="1"/>
    <xf borderId="0" fillId="0" fontId="3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4" fillId="0" fontId="3" numFmtId="165" xfId="0" applyBorder="1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0</v>
      </c>
    </row>
    <row r="2">
      <c r="A2" s="2"/>
      <c r="B2" s="2"/>
    </row>
    <row r="3">
      <c r="A3" s="3" t="s">
        <v>1</v>
      </c>
    </row>
    <row r="4">
      <c r="A4" s="4" t="s">
        <v>2</v>
      </c>
      <c r="B4" s="5">
        <v>100.0</v>
      </c>
    </row>
    <row r="5">
      <c r="A5" s="4" t="s">
        <v>3</v>
      </c>
      <c r="B5" s="6">
        <v>99.0</v>
      </c>
    </row>
    <row r="6">
      <c r="A6" s="4" t="s">
        <v>4</v>
      </c>
      <c r="B6" s="7">
        <v>0.3</v>
      </c>
    </row>
    <row r="7">
      <c r="A7" s="4" t="s">
        <v>5</v>
      </c>
      <c r="B7" s="7">
        <v>0.9</v>
      </c>
    </row>
    <row r="8">
      <c r="A8" s="4" t="s">
        <v>6</v>
      </c>
      <c r="B8" s="8">
        <v>0.2</v>
      </c>
    </row>
    <row r="9">
      <c r="A9" s="4" t="s">
        <v>7</v>
      </c>
      <c r="B9" s="9">
        <f>(B4*B6*B5*12)</f>
        <v>35640</v>
      </c>
    </row>
    <row r="11">
      <c r="A11" s="3" t="s">
        <v>8</v>
      </c>
    </row>
    <row r="12">
      <c r="A12" s="4" t="s">
        <v>9</v>
      </c>
      <c r="B12" s="10">
        <f>(B8*B19)*(B4*B6)</f>
        <v>600000</v>
      </c>
    </row>
    <row r="13">
      <c r="A13" s="4" t="s">
        <v>10</v>
      </c>
      <c r="B13" s="9">
        <f>(B9*B20)</f>
        <v>40986</v>
      </c>
    </row>
    <row r="15">
      <c r="A15" s="11" t="s">
        <v>11</v>
      </c>
      <c r="B15" s="12">
        <f>B12-B13</f>
        <v>559014</v>
      </c>
    </row>
    <row r="18">
      <c r="A18" s="11" t="s">
        <v>12</v>
      </c>
    </row>
    <row r="19">
      <c r="A19" s="4" t="s">
        <v>13</v>
      </c>
      <c r="B19" s="13">
        <f>100000</f>
        <v>100000</v>
      </c>
    </row>
    <row r="20">
      <c r="A20" s="4" t="s">
        <v>14</v>
      </c>
      <c r="B20" s="4">
        <f>ifs(B7&gt;0.89,1.15,B7&gt;0.69,2,B7&gt;0.49,10,B7&gt;0,20)</f>
        <v>1.15</v>
      </c>
    </row>
  </sheetData>
  <mergeCells count="3">
    <mergeCell ref="A3:B3"/>
    <mergeCell ref="A11:B11"/>
    <mergeCell ref="A1:G1"/>
  </mergeCells>
  <drawing r:id="rId1"/>
</worksheet>
</file>